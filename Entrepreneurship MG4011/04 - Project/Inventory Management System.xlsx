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druzm\Downloads\"/>
    </mc:Choice>
  </mc:AlternateContent>
  <xr:revisionPtr revIDLastSave="0" documentId="13_ncr:1_{BA849992-E5C0-40DB-90BB-6A84ED9761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inventory list tabeebz" sheetId="2" r:id="rId2"/>
  </sheets>
  <definedNames>
    <definedName name="Inventory">Sheet1!$B$3:$F$13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B14" i="1" l="1"/>
  <c r="E14" i="1"/>
  <c r="F17" i="2"/>
  <c r="G16" i="2"/>
  <c r="G15" i="2"/>
  <c r="G14" i="2"/>
  <c r="G13" i="2"/>
  <c r="G12" i="2"/>
  <c r="G11" i="2"/>
  <c r="G10" i="2"/>
  <c r="G9" i="2"/>
  <c r="G8" i="2"/>
  <c r="G7" i="2"/>
  <c r="G17" i="2" s="1"/>
  <c r="S10" i="1"/>
  <c r="S11" i="1"/>
  <c r="S12" i="1"/>
  <c r="S13" i="1"/>
  <c r="S14" i="1"/>
  <c r="T10" i="1"/>
  <c r="V10" i="1" s="1"/>
  <c r="T11" i="1"/>
  <c r="V11" i="1" s="1"/>
  <c r="T12" i="1"/>
  <c r="V12" i="1" s="1"/>
  <c r="T13" i="1"/>
  <c r="V13" i="1" s="1"/>
  <c r="T14" i="1"/>
  <c r="V14" i="1" s="1"/>
  <c r="L10" i="1"/>
  <c r="N10" i="1" s="1"/>
  <c r="L11" i="1"/>
  <c r="N11" i="1" s="1"/>
  <c r="L12" i="1"/>
  <c r="N12" i="1" s="1"/>
  <c r="L13" i="1"/>
  <c r="N13" i="1" s="1"/>
  <c r="L14" i="1"/>
  <c r="N14" i="1" s="1"/>
  <c r="K10" i="1"/>
  <c r="K11" i="1"/>
  <c r="K12" i="1"/>
  <c r="K13" i="1"/>
  <c r="K14" i="1"/>
  <c r="F14" i="1" l="1"/>
  <c r="AF14" i="1" l="1"/>
</calcChain>
</file>

<file path=xl/sharedStrings.xml><?xml version="1.0" encoding="utf-8"?>
<sst xmlns="http://schemas.openxmlformats.org/spreadsheetml/2006/main" count="112" uniqueCount="49">
  <si>
    <t>#</t>
  </si>
  <si>
    <t>Item Code</t>
  </si>
  <si>
    <t>Item name</t>
  </si>
  <si>
    <t>Price/unit</t>
  </si>
  <si>
    <t>Units</t>
  </si>
  <si>
    <t>IM001</t>
  </si>
  <si>
    <t>IM002</t>
  </si>
  <si>
    <t>IM003</t>
  </si>
  <si>
    <t>IM004</t>
  </si>
  <si>
    <t>IM005</t>
  </si>
  <si>
    <t>IM006</t>
  </si>
  <si>
    <t>IM007</t>
  </si>
  <si>
    <t>IM008</t>
  </si>
  <si>
    <t>IM009</t>
  </si>
  <si>
    <t>IM010</t>
  </si>
  <si>
    <t>Item one</t>
  </si>
  <si>
    <t>Item two</t>
  </si>
  <si>
    <t>Item Three</t>
  </si>
  <si>
    <t>Item Four</t>
  </si>
  <si>
    <t>Item five</t>
  </si>
  <si>
    <t>Item six</t>
  </si>
  <si>
    <t>Item Seven</t>
  </si>
  <si>
    <t>Item Eight</t>
  </si>
  <si>
    <t>Item Nine</t>
  </si>
  <si>
    <t>Item Ten</t>
  </si>
  <si>
    <t>Total Inventory Value</t>
  </si>
  <si>
    <t>Opening Inventory/Stock</t>
  </si>
  <si>
    <t>Date</t>
  </si>
  <si>
    <t>Purchahses Inventory/Stock In</t>
  </si>
  <si>
    <t>Opening Inventory</t>
  </si>
  <si>
    <t>Purchases</t>
  </si>
  <si>
    <t>Sales</t>
  </si>
  <si>
    <t>Sales Inventory/Stock Out</t>
  </si>
  <si>
    <t>Current Status of Inventory/Stock</t>
  </si>
  <si>
    <t>Closing Inventory</t>
  </si>
  <si>
    <t>SL001</t>
  </si>
  <si>
    <t>SL002</t>
  </si>
  <si>
    <t>SL003</t>
  </si>
  <si>
    <t>SL004</t>
  </si>
  <si>
    <t>SL005</t>
  </si>
  <si>
    <t>SL006</t>
  </si>
  <si>
    <t>SL007</t>
  </si>
  <si>
    <t>React Native License</t>
  </si>
  <si>
    <t>Firebase License</t>
  </si>
  <si>
    <t>Node.js License</t>
  </si>
  <si>
    <t>UI/UX Toolkit</t>
  </si>
  <si>
    <t>Cloud Credits</t>
  </si>
  <si>
    <t>App Template A</t>
  </si>
  <si>
    <t>App Template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</si>
</sst>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F14"/>
  <sheetViews>
    <sheetView tabSelected="1" topLeftCell="F1" workbookViewId="0">
      <selection activeCell="I5" sqref="I5"/>
    </sheetView>
  </sheetViews>
  <sheetFormatPr defaultRowHeight="14.5" x14ac:dyDescent="0.35"/>
  <cols>
    <col min="1" max="1" width="3" style="7" bestFit="1" customWidth="1"/>
    <col min="2" max="2" width="9.453125" bestFit="1" customWidth="1"/>
    <col min="3" max="3" width="10" bestFit="1" customWidth="1"/>
    <col min="5" max="5" width="5.1796875" bestFit="1" customWidth="1"/>
    <col min="6" max="6" width="18.6328125" bestFit="1" customWidth="1"/>
    <col min="7" max="7" width="4.08984375" customWidth="1"/>
    <col min="8" max="8" width="3" style="7" bestFit="1" customWidth="1"/>
    <col min="9" max="9" width="10.54296875" bestFit="1" customWidth="1"/>
    <col min="10" max="10" width="9.6328125" bestFit="1" customWidth="1"/>
    <col min="11" max="11" width="10.08984375" bestFit="1" customWidth="1"/>
    <col min="12" max="12" width="9.36328125" bestFit="1" customWidth="1"/>
    <col min="13" max="13" width="5.36328125" bestFit="1" customWidth="1"/>
    <col min="14" max="14" width="19.36328125" bestFit="1" customWidth="1"/>
    <col min="15" max="15" width="4.36328125" customWidth="1"/>
    <col min="16" max="16" width="2" bestFit="1" customWidth="1"/>
    <col min="17" max="17" width="10.54296875" bestFit="1" customWidth="1"/>
    <col min="18" max="18" width="9.6328125" bestFit="1" customWidth="1"/>
    <col min="19" max="19" width="10.08984375" bestFit="1" customWidth="1"/>
    <col min="20" max="20" width="9.36328125" bestFit="1" customWidth="1"/>
    <col min="21" max="21" width="5.36328125" bestFit="1" customWidth="1"/>
    <col min="22" max="22" width="19.36328125" bestFit="1" customWidth="1"/>
    <col min="23" max="23" width="4" customWidth="1"/>
    <col min="24" max="24" width="3" bestFit="1" customWidth="1"/>
    <col min="25" max="25" width="9.6328125" bestFit="1" customWidth="1"/>
    <col min="26" max="26" width="10.08984375" bestFit="1" customWidth="1"/>
    <col min="27" max="27" width="9.36328125" bestFit="1" customWidth="1"/>
    <col min="28" max="28" width="16.90625" bestFit="1" customWidth="1"/>
    <col min="29" max="29" width="9.453125" bestFit="1" customWidth="1"/>
    <col min="30" max="30" width="5.1796875" bestFit="1" customWidth="1"/>
    <col min="31" max="31" width="15.81640625" bestFit="1" customWidth="1"/>
    <col min="32" max="32" width="19.36328125" bestFit="1" customWidth="1"/>
  </cols>
  <sheetData>
    <row r="2" spans="1:32" ht="18.5" x14ac:dyDescent="0.45">
      <c r="A2" s="8" t="s">
        <v>26</v>
      </c>
      <c r="B2" s="8"/>
      <c r="C2" s="8"/>
      <c r="D2" s="8"/>
      <c r="E2" s="8"/>
      <c r="F2" s="8"/>
      <c r="H2" s="8" t="s">
        <v>28</v>
      </c>
      <c r="I2" s="8"/>
      <c r="J2" s="8"/>
      <c r="K2" s="8"/>
      <c r="L2" s="8"/>
      <c r="M2" s="8"/>
      <c r="N2" s="8"/>
      <c r="P2" s="8" t="s">
        <v>32</v>
      </c>
      <c r="Q2" s="8"/>
      <c r="R2" s="8"/>
      <c r="S2" s="8"/>
      <c r="T2" s="8"/>
      <c r="U2" s="8"/>
      <c r="V2" s="8"/>
      <c r="X2" s="8" t="s">
        <v>33</v>
      </c>
      <c r="Y2" s="8"/>
      <c r="Z2" s="8"/>
      <c r="AA2" s="8"/>
      <c r="AB2" s="8"/>
      <c r="AC2" s="8"/>
      <c r="AD2" s="8"/>
      <c r="AE2" s="8"/>
      <c r="AF2" s="8"/>
    </row>
    <row r="3" spans="1:32" s="7" customFormat="1" x14ac:dyDescent="0.3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25</v>
      </c>
      <c r="H3" s="6" t="s">
        <v>0</v>
      </c>
      <c r="I3" s="6" t="s">
        <v>27</v>
      </c>
      <c r="J3" s="6" t="s">
        <v>1</v>
      </c>
      <c r="K3" s="6" t="s">
        <v>2</v>
      </c>
      <c r="L3" s="6" t="s">
        <v>3</v>
      </c>
      <c r="M3" s="6" t="s">
        <v>4</v>
      </c>
      <c r="N3" s="6" t="s">
        <v>25</v>
      </c>
      <c r="P3" s="6" t="s">
        <v>0</v>
      </c>
      <c r="Q3" s="6" t="s">
        <v>27</v>
      </c>
      <c r="R3" s="6" t="s">
        <v>1</v>
      </c>
      <c r="S3" s="6" t="s">
        <v>2</v>
      </c>
      <c r="T3" s="6" t="s">
        <v>3</v>
      </c>
      <c r="U3" s="6" t="s">
        <v>4</v>
      </c>
      <c r="V3" s="6" t="s">
        <v>25</v>
      </c>
      <c r="X3" s="6" t="s">
        <v>0</v>
      </c>
      <c r="Y3" s="6" t="s">
        <v>1</v>
      </c>
      <c r="Z3" s="6" t="s">
        <v>2</v>
      </c>
      <c r="AA3" s="6" t="s">
        <v>3</v>
      </c>
      <c r="AB3" s="6" t="s">
        <v>29</v>
      </c>
      <c r="AC3" s="6" t="s">
        <v>30</v>
      </c>
      <c r="AD3" s="6" t="s">
        <v>31</v>
      </c>
      <c r="AE3" s="6" t="s">
        <v>34</v>
      </c>
      <c r="AF3" s="6" t="s">
        <v>25</v>
      </c>
    </row>
    <row r="4" spans="1:32" x14ac:dyDescent="0.35">
      <c r="A4" s="2">
        <v>1</v>
      </c>
      <c r="B4" s="1" t="s">
        <v>35</v>
      </c>
      <c r="C4" s="1" t="s">
        <v>42</v>
      </c>
      <c r="D4" s="2">
        <v>5000</v>
      </c>
      <c r="E4" s="2">
        <v>10</v>
      </c>
      <c r="F4" s="2">
        <v>50000</v>
      </c>
      <c r="H4" s="2">
        <v>1</v>
      </c>
      <c r="I4" s="5">
        <v>45658</v>
      </c>
      <c r="J4" s="1" t="s">
        <v>39</v>
      </c>
      <c r="K4" s="3" t="s">
        <v>46</v>
      </c>
      <c r="L4" s="3">
        <v>1000</v>
      </c>
      <c r="M4" s="2">
        <v>20</v>
      </c>
      <c r="N4" s="4">
        <v>20000</v>
      </c>
      <c r="P4" s="1">
        <v>1</v>
      </c>
      <c r="Q4" s="5">
        <v>45658</v>
      </c>
      <c r="R4" s="1" t="s">
        <v>39</v>
      </c>
      <c r="S4" s="3" t="s">
        <v>46</v>
      </c>
      <c r="T4" s="3">
        <v>1000</v>
      </c>
      <c r="U4" s="2">
        <v>5</v>
      </c>
      <c r="V4" s="4">
        <v>5000</v>
      </c>
      <c r="X4" s="1">
        <v>1</v>
      </c>
      <c r="Y4" s="1" t="s">
        <v>35</v>
      </c>
      <c r="Z4" s="1" t="s">
        <v>42</v>
      </c>
      <c r="AA4" s="2">
        <v>5000</v>
      </c>
      <c r="AB4" s="2">
        <v>10</v>
      </c>
      <c r="AC4" s="2">
        <v>0</v>
      </c>
      <c r="AD4" s="2">
        <v>0</v>
      </c>
      <c r="AE4" s="2">
        <v>10</v>
      </c>
      <c r="AF4" s="2">
        <v>50000</v>
      </c>
    </row>
    <row r="5" spans="1:32" x14ac:dyDescent="0.35">
      <c r="A5" s="2">
        <v>2</v>
      </c>
      <c r="B5" s="1" t="s">
        <v>36</v>
      </c>
      <c r="C5" s="1" t="s">
        <v>43</v>
      </c>
      <c r="D5" s="2">
        <v>3000</v>
      </c>
      <c r="E5" s="2">
        <v>15</v>
      </c>
      <c r="F5" s="2">
        <v>45000</v>
      </c>
      <c r="H5" s="2">
        <v>2</v>
      </c>
      <c r="I5" s="5">
        <v>45659</v>
      </c>
      <c r="J5" s="1" t="s">
        <v>40</v>
      </c>
      <c r="K5" s="3" t="s">
        <v>47</v>
      </c>
      <c r="L5" s="3">
        <v>2000</v>
      </c>
      <c r="M5" s="2">
        <v>10</v>
      </c>
      <c r="N5" s="4">
        <v>20000</v>
      </c>
      <c r="P5" s="1">
        <v>2</v>
      </c>
      <c r="Q5" s="5">
        <v>45660</v>
      </c>
      <c r="R5" s="1" t="s">
        <v>37</v>
      </c>
      <c r="S5" s="3" t="s">
        <v>44</v>
      </c>
      <c r="T5" s="3">
        <v>2000</v>
      </c>
      <c r="U5" s="2">
        <v>3</v>
      </c>
      <c r="V5" s="4">
        <v>6000</v>
      </c>
      <c r="X5" s="1">
        <v>2</v>
      </c>
      <c r="Y5" s="1" t="s">
        <v>36</v>
      </c>
      <c r="Z5" s="1" t="s">
        <v>43</v>
      </c>
      <c r="AA5" s="2">
        <v>3000</v>
      </c>
      <c r="AB5" s="2">
        <v>15</v>
      </c>
      <c r="AC5" s="2">
        <v>0</v>
      </c>
      <c r="AD5" s="2">
        <v>0</v>
      </c>
      <c r="AE5" s="2">
        <v>15</v>
      </c>
      <c r="AF5" s="2">
        <v>45000</v>
      </c>
    </row>
    <row r="6" spans="1:32" x14ac:dyDescent="0.35">
      <c r="A6" s="2">
        <v>3</v>
      </c>
      <c r="B6" s="1" t="s">
        <v>37</v>
      </c>
      <c r="C6" s="1" t="s">
        <v>44</v>
      </c>
      <c r="D6" s="2">
        <v>2000</v>
      </c>
      <c r="E6" s="2">
        <v>20</v>
      </c>
      <c r="F6" s="2">
        <v>40000</v>
      </c>
      <c r="H6" s="2">
        <v>3</v>
      </c>
      <c r="I6" s="5">
        <v>45660</v>
      </c>
      <c r="J6" s="1" t="s">
        <v>41</v>
      </c>
      <c r="K6" s="3" t="s">
        <v>48</v>
      </c>
      <c r="L6" s="3">
        <v>2000</v>
      </c>
      <c r="M6" s="2">
        <v>5</v>
      </c>
      <c r="N6" s="4">
        <v>10000</v>
      </c>
      <c r="P6" s="1">
        <v>3</v>
      </c>
      <c r="Q6" s="5">
        <v>45661</v>
      </c>
      <c r="R6" s="1" t="s">
        <v>40</v>
      </c>
      <c r="S6" s="3" t="s">
        <v>47</v>
      </c>
      <c r="T6" s="3">
        <v>2000</v>
      </c>
      <c r="U6" s="2">
        <v>2</v>
      </c>
      <c r="V6" s="4">
        <v>4000</v>
      </c>
      <c r="X6" s="1">
        <v>3</v>
      </c>
      <c r="Y6" s="1" t="s">
        <v>37</v>
      </c>
      <c r="Z6" s="1" t="s">
        <v>44</v>
      </c>
      <c r="AA6" s="2">
        <v>2000</v>
      </c>
      <c r="AB6" s="2">
        <v>20</v>
      </c>
      <c r="AC6" s="2">
        <v>0</v>
      </c>
      <c r="AD6" s="2">
        <v>3</v>
      </c>
      <c r="AE6" s="2">
        <v>17</v>
      </c>
      <c r="AF6" s="2">
        <v>34000</v>
      </c>
    </row>
    <row r="7" spans="1:32" x14ac:dyDescent="0.35">
      <c r="A7" s="2">
        <v>4</v>
      </c>
      <c r="B7" s="1" t="s">
        <v>38</v>
      </c>
      <c r="C7" s="1" t="s">
        <v>45</v>
      </c>
      <c r="D7" s="2">
        <v>1500</v>
      </c>
      <c r="E7" s="2">
        <v>25</v>
      </c>
      <c r="F7" s="2">
        <v>37500</v>
      </c>
      <c r="H7" s="2">
        <v>4</v>
      </c>
      <c r="I7" s="5">
        <v>45661</v>
      </c>
      <c r="J7" s="1" t="s">
        <v>39</v>
      </c>
      <c r="K7" s="3" t="s">
        <v>46</v>
      </c>
      <c r="L7" s="3">
        <v>1000</v>
      </c>
      <c r="M7" s="2">
        <v>15</v>
      </c>
      <c r="N7" s="4">
        <v>15000</v>
      </c>
      <c r="P7" s="1">
        <v>4</v>
      </c>
      <c r="Q7" s="5">
        <v>45662</v>
      </c>
      <c r="R7" s="1" t="s">
        <v>39</v>
      </c>
      <c r="S7" s="3" t="s">
        <v>46</v>
      </c>
      <c r="T7" s="3">
        <v>1000</v>
      </c>
      <c r="U7" s="2">
        <v>5</v>
      </c>
      <c r="V7" s="4">
        <v>5000</v>
      </c>
      <c r="X7" s="1">
        <v>4</v>
      </c>
      <c r="Y7" s="1" t="s">
        <v>38</v>
      </c>
      <c r="Z7" s="1" t="s">
        <v>45</v>
      </c>
      <c r="AA7" s="2">
        <v>1500</v>
      </c>
      <c r="AB7" s="2">
        <v>25</v>
      </c>
      <c r="AC7" s="2">
        <v>0</v>
      </c>
      <c r="AD7" s="2">
        <v>0</v>
      </c>
      <c r="AE7" s="2">
        <v>25</v>
      </c>
      <c r="AF7" s="2">
        <v>37500</v>
      </c>
    </row>
    <row r="8" spans="1:32" x14ac:dyDescent="0.35">
      <c r="A8" s="2">
        <v>5</v>
      </c>
      <c r="B8" s="1" t="s">
        <v>39</v>
      </c>
      <c r="C8" s="1" t="s">
        <v>46</v>
      </c>
      <c r="D8" s="2">
        <v>1000</v>
      </c>
      <c r="E8" s="2">
        <v>30</v>
      </c>
      <c r="F8" s="2">
        <v>30000</v>
      </c>
      <c r="H8" s="2">
        <v>5</v>
      </c>
      <c r="I8" s="5">
        <v>45662</v>
      </c>
      <c r="J8" s="1" t="s">
        <v>40</v>
      </c>
      <c r="K8" s="3" t="s">
        <v>47</v>
      </c>
      <c r="L8" s="3">
        <v>2000</v>
      </c>
      <c r="M8" s="2">
        <v>5</v>
      </c>
      <c r="N8" s="4">
        <v>10000</v>
      </c>
      <c r="P8" s="1">
        <v>5</v>
      </c>
      <c r="Q8" s="5">
        <v>45663</v>
      </c>
      <c r="R8" s="1" t="s">
        <v>40</v>
      </c>
      <c r="S8" s="3" t="s">
        <v>47</v>
      </c>
      <c r="T8" s="3">
        <v>2000</v>
      </c>
      <c r="U8" s="2">
        <v>3</v>
      </c>
      <c r="V8" s="4">
        <v>6000</v>
      </c>
      <c r="X8" s="1">
        <v>5</v>
      </c>
      <c r="Y8" s="1" t="s">
        <v>39</v>
      </c>
      <c r="Z8" s="1" t="s">
        <v>46</v>
      </c>
      <c r="AA8" s="2">
        <v>1000</v>
      </c>
      <c r="AB8" s="2">
        <v>30</v>
      </c>
      <c r="AC8" s="2">
        <v>50</v>
      </c>
      <c r="AD8" s="2">
        <v>15</v>
      </c>
      <c r="AE8" s="2">
        <v>65</v>
      </c>
      <c r="AF8" s="2">
        <v>65000</v>
      </c>
    </row>
    <row r="9" spans="1:32" x14ac:dyDescent="0.35">
      <c r="A9" s="2">
        <v>6</v>
      </c>
      <c r="B9" s="1" t="s">
        <v>40</v>
      </c>
      <c r="C9" s="1" t="s">
        <v>47</v>
      </c>
      <c r="D9" s="2">
        <v>2000</v>
      </c>
      <c r="E9" s="2">
        <v>10</v>
      </c>
      <c r="F9" s="2">
        <v>20000</v>
      </c>
      <c r="H9" s="2">
        <v>6</v>
      </c>
      <c r="I9" s="5">
        <v>45663</v>
      </c>
      <c r="J9" s="1" t="s">
        <v>41</v>
      </c>
      <c r="K9" s="3" t="s">
        <v>48</v>
      </c>
      <c r="L9" s="3">
        <v>2000</v>
      </c>
      <c r="M9" s="2">
        <v>5</v>
      </c>
      <c r="N9" s="4">
        <v>10000</v>
      </c>
      <c r="P9" s="1">
        <v>6</v>
      </c>
      <c r="Q9" s="5">
        <v>45664</v>
      </c>
      <c r="R9" s="1" t="s">
        <v>41</v>
      </c>
      <c r="S9" s="3" t="s">
        <v>48</v>
      </c>
      <c r="T9" s="3">
        <v>2000</v>
      </c>
      <c r="U9" s="2">
        <v>2</v>
      </c>
      <c r="V9" s="4">
        <v>4000</v>
      </c>
      <c r="X9" s="1">
        <v>6</v>
      </c>
      <c r="Y9" s="1" t="s">
        <v>40</v>
      </c>
      <c r="Z9" s="1" t="s">
        <v>47</v>
      </c>
      <c r="AA9" s="2">
        <v>2000</v>
      </c>
      <c r="AB9" s="2">
        <v>10</v>
      </c>
      <c r="AC9" s="2">
        <v>20</v>
      </c>
      <c r="AD9" s="2">
        <v>7</v>
      </c>
      <c r="AE9" s="2">
        <v>23</v>
      </c>
      <c r="AF9" s="2">
        <v>46000</v>
      </c>
    </row>
    <row r="10" spans="1:32" x14ac:dyDescent="0.35">
      <c r="A10" s="2">
        <v>7</v>
      </c>
      <c r="B10" s="1" t="s">
        <v>41</v>
      </c>
      <c r="C10" s="1" t="s">
        <v>48</v>
      </c>
      <c r="D10" s="2">
        <v>2000</v>
      </c>
      <c r="E10" s="2">
        <v>5</v>
      </c>
      <c r="F10" s="2">
        <v>10000</v>
      </c>
      <c r="H10" s="2"/>
      <c r="I10" s="1"/>
      <c r="J10" s="1"/>
      <c r="K10" s="3" t="str">
        <f t="shared" ref="K10:K14" si="0">IFERROR(VLOOKUP(J10,Inventory,2,FALSE),"")</f>
        <v/>
      </c>
      <c r="L10" s="3" t="str">
        <f t="shared" ref="L10:L14" si="1">IFERROR(VLOOKUP(J10,Inventory,3,FALSE),"")</f>
        <v/>
      </c>
      <c r="M10" s="2"/>
      <c r="N10" s="4" t="str">
        <f t="shared" ref="N10:N14" si="2">IFERROR(L10*M10, "")</f>
        <v/>
      </c>
      <c r="P10" s="1"/>
      <c r="Q10" s="1"/>
      <c r="R10" s="1"/>
      <c r="S10" s="3" t="str">
        <f t="shared" ref="S10:S14" si="3">IFERROR(VLOOKUP(R10,Inventory,2,FALSE),"")</f>
        <v/>
      </c>
      <c r="T10" s="3" t="str">
        <f t="shared" ref="T10:T14" si="4">IFERROR(VLOOKUP(R10,Inventory,3,FALSE),"")</f>
        <v/>
      </c>
      <c r="U10" s="2"/>
      <c r="V10" s="4" t="str">
        <f t="shared" ref="V10:V14" si="5">IFERROR(T10*U10, "")</f>
        <v/>
      </c>
      <c r="X10" s="1">
        <v>7</v>
      </c>
      <c r="Y10" s="1" t="s">
        <v>41</v>
      </c>
      <c r="Z10" s="1" t="s">
        <v>48</v>
      </c>
      <c r="AA10" s="2">
        <v>2000</v>
      </c>
      <c r="AB10" s="2">
        <v>5</v>
      </c>
      <c r="AC10" s="2">
        <v>10</v>
      </c>
      <c r="AD10" s="2">
        <v>4</v>
      </c>
      <c r="AE10" s="2">
        <v>11</v>
      </c>
      <c r="AF10" s="2">
        <v>22000</v>
      </c>
    </row>
    <row r="11" spans="1:32" x14ac:dyDescent="0.35">
      <c r="A11" s="2"/>
      <c r="B11" s="1"/>
      <c r="C11" s="1"/>
      <c r="D11" s="2"/>
      <c r="E11" s="2"/>
      <c r="F11" s="2"/>
      <c r="H11" s="2"/>
      <c r="I11" s="1"/>
      <c r="J11" s="1"/>
      <c r="K11" s="3" t="str">
        <f t="shared" si="0"/>
        <v/>
      </c>
      <c r="L11" s="3" t="str">
        <f t="shared" si="1"/>
        <v/>
      </c>
      <c r="M11" s="2"/>
      <c r="N11" s="4" t="str">
        <f t="shared" si="2"/>
        <v/>
      </c>
      <c r="P11" s="1"/>
      <c r="Q11" s="1"/>
      <c r="R11" s="1"/>
      <c r="S11" s="3" t="str">
        <f t="shared" si="3"/>
        <v/>
      </c>
      <c r="T11" s="3" t="str">
        <f t="shared" si="4"/>
        <v/>
      </c>
      <c r="U11" s="2"/>
      <c r="V11" s="4" t="str">
        <f t="shared" si="5"/>
        <v/>
      </c>
      <c r="X11" s="1"/>
      <c r="Y11" s="1"/>
      <c r="Z11" s="1"/>
      <c r="AA11" s="2"/>
      <c r="AB11" s="2"/>
      <c r="AC11" s="2"/>
      <c r="AD11" s="2"/>
      <c r="AE11" s="2"/>
      <c r="AF11" s="2"/>
    </row>
    <row r="12" spans="1:32" x14ac:dyDescent="0.35">
      <c r="A12" s="2"/>
      <c r="B12" s="1"/>
      <c r="C12" s="1"/>
      <c r="D12" s="2"/>
      <c r="E12" s="2"/>
      <c r="F12" s="2"/>
      <c r="H12" s="2"/>
      <c r="I12" s="1"/>
      <c r="J12" s="1"/>
      <c r="K12" s="3" t="str">
        <f t="shared" si="0"/>
        <v/>
      </c>
      <c r="L12" s="3" t="str">
        <f t="shared" si="1"/>
        <v/>
      </c>
      <c r="M12" s="2"/>
      <c r="N12" s="4" t="str">
        <f t="shared" si="2"/>
        <v/>
      </c>
      <c r="P12" s="1"/>
      <c r="Q12" s="1"/>
      <c r="R12" s="1"/>
      <c r="S12" s="3" t="str">
        <f t="shared" si="3"/>
        <v/>
      </c>
      <c r="T12" s="3" t="str">
        <f t="shared" si="4"/>
        <v/>
      </c>
      <c r="U12" s="2"/>
      <c r="V12" s="4" t="str">
        <f t="shared" si="5"/>
        <v/>
      </c>
      <c r="X12" s="1"/>
      <c r="Y12" s="1"/>
      <c r="Z12" s="1"/>
      <c r="AA12" s="2"/>
      <c r="AB12" s="2"/>
      <c r="AC12" s="2"/>
      <c r="AD12" s="2"/>
      <c r="AE12" s="2"/>
      <c r="AF12" s="2"/>
    </row>
    <row r="13" spans="1:32" x14ac:dyDescent="0.35">
      <c r="A13" s="2"/>
      <c r="B13" s="1"/>
      <c r="C13" s="1"/>
      <c r="D13" s="2"/>
      <c r="E13" s="2"/>
      <c r="F13" s="2"/>
      <c r="H13" s="2"/>
      <c r="I13" s="1"/>
      <c r="J13" s="1"/>
      <c r="K13" s="3" t="str">
        <f t="shared" si="0"/>
        <v/>
      </c>
      <c r="L13" s="3" t="str">
        <f t="shared" si="1"/>
        <v/>
      </c>
      <c r="M13" s="2"/>
      <c r="N13" s="4" t="str">
        <f t="shared" si="2"/>
        <v/>
      </c>
      <c r="P13" s="1"/>
      <c r="Q13" s="1"/>
      <c r="R13" s="1"/>
      <c r="S13" s="3" t="str">
        <f t="shared" si="3"/>
        <v/>
      </c>
      <c r="T13" s="3" t="str">
        <f t="shared" si="4"/>
        <v/>
      </c>
      <c r="U13" s="2"/>
      <c r="V13" s="4" t="str">
        <f t="shared" si="5"/>
        <v/>
      </c>
      <c r="X13" s="1"/>
      <c r="Y13" s="1"/>
      <c r="Z13" s="1"/>
      <c r="AA13" s="2"/>
      <c r="AB13" s="2"/>
      <c r="AC13" s="2"/>
      <c r="AD13" s="2"/>
      <c r="AE13" s="2"/>
      <c r="AF13" s="2"/>
    </row>
    <row r="14" spans="1:32" x14ac:dyDescent="0.35">
      <c r="A14" s="2"/>
      <c r="B14" s="1"/>
      <c r="C14" s="1"/>
      <c r="D14" s="2"/>
      <c r="E14" s="2">
        <f>SUM(E4:E13)</f>
        <v>115</v>
      </c>
      <c r="F14" s="2">
        <f>SUM(F4:F13)</f>
        <v>232500</v>
      </c>
      <c r="H14" s="2"/>
      <c r="I14" s="1"/>
      <c r="J14" s="1"/>
      <c r="K14" s="3" t="str">
        <f t="shared" si="0"/>
        <v/>
      </c>
      <c r="L14" s="3" t="str">
        <f t="shared" si="1"/>
        <v/>
      </c>
      <c r="M14" s="2"/>
      <c r="N14" s="4" t="str">
        <f t="shared" si="2"/>
        <v/>
      </c>
      <c r="P14" s="1"/>
      <c r="Q14" s="1"/>
      <c r="R14" s="1"/>
      <c r="S14" s="3" t="str">
        <f t="shared" si="3"/>
        <v/>
      </c>
      <c r="T14" s="3" t="str">
        <f t="shared" si="4"/>
        <v/>
      </c>
      <c r="U14" s="2"/>
      <c r="V14" s="4" t="str">
        <f t="shared" si="5"/>
        <v/>
      </c>
      <c r="X14" s="1"/>
      <c r="Y14" s="1"/>
      <c r="Z14" s="1"/>
      <c r="AA14" s="2"/>
      <c r="AB14" s="2">
        <f>SUM(AB4:AB13)</f>
        <v>115</v>
      </c>
      <c r="AC14" s="2"/>
      <c r="AD14" s="2"/>
      <c r="AE14" s="2"/>
      <c r="AF14" s="2">
        <f>SUM(AF4:AF13)</f>
        <v>299500</v>
      </c>
    </row>
  </sheetData>
  <mergeCells count="4">
    <mergeCell ref="A2:F2"/>
    <mergeCell ref="H2:N2"/>
    <mergeCell ref="P2:V2"/>
    <mergeCell ref="X2:AF2"/>
  </mergeCells>
  <phoneticPr fontId="2" type="noConversion"/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B638D-AA4A-4E96-A364-B40648A5F90F}">
  <dimension ref="B5:G17"/>
  <sheetViews>
    <sheetView workbookViewId="0">
      <selection activeCell="E7" sqref="E7"/>
    </sheetView>
  </sheetViews>
  <sheetFormatPr defaultRowHeight="14.5" x14ac:dyDescent="0.35"/>
  <cols>
    <col min="4" max="4" width="19.453125" customWidth="1"/>
    <col min="5" max="5" width="12.6328125" customWidth="1"/>
    <col min="6" max="6" width="14.08984375" customWidth="1"/>
    <col min="7" max="7" width="20.1796875" customWidth="1"/>
  </cols>
  <sheetData>
    <row r="5" spans="2:7" ht="18.5" x14ac:dyDescent="0.45">
      <c r="B5" s="8" t="s">
        <v>26</v>
      </c>
      <c r="C5" s="8"/>
      <c r="D5" s="8"/>
      <c r="E5" s="8"/>
      <c r="F5" s="8"/>
      <c r="G5" s="8"/>
    </row>
    <row r="6" spans="2:7" x14ac:dyDescent="0.35">
      <c r="B6" s="6" t="s">
        <v>0</v>
      </c>
      <c r="C6" s="6" t="s">
        <v>1</v>
      </c>
      <c r="D6" s="6" t="s">
        <v>2</v>
      </c>
      <c r="E6" s="6" t="s">
        <v>3</v>
      </c>
      <c r="F6" s="6" t="s">
        <v>4</v>
      </c>
      <c r="G6" s="6" t="s">
        <v>25</v>
      </c>
    </row>
    <row r="7" spans="2:7" x14ac:dyDescent="0.35">
      <c r="B7" s="2">
        <v>1</v>
      </c>
      <c r="C7" s="1" t="s">
        <v>5</v>
      </c>
      <c r="D7" s="1" t="s">
        <v>15</v>
      </c>
      <c r="E7" s="2">
        <v>400</v>
      </c>
      <c r="F7" s="2">
        <v>20</v>
      </c>
      <c r="G7" s="2">
        <f>E7*F7</f>
        <v>8000</v>
      </c>
    </row>
    <row r="8" spans="2:7" x14ac:dyDescent="0.35">
      <c r="B8" s="2">
        <v>2</v>
      </c>
      <c r="C8" s="1" t="s">
        <v>6</v>
      </c>
      <c r="D8" s="1" t="s">
        <v>16</v>
      </c>
      <c r="E8" s="2">
        <v>250</v>
      </c>
      <c r="F8" s="2">
        <v>30</v>
      </c>
      <c r="G8" s="2">
        <f t="shared" ref="G8:G16" si="0">E8*F8</f>
        <v>7500</v>
      </c>
    </row>
    <row r="9" spans="2:7" x14ac:dyDescent="0.35">
      <c r="B9" s="2">
        <v>3</v>
      </c>
      <c r="C9" s="1" t="s">
        <v>7</v>
      </c>
      <c r="D9" s="1" t="s">
        <v>17</v>
      </c>
      <c r="E9" s="2">
        <v>50</v>
      </c>
      <c r="F9" s="2">
        <v>15</v>
      </c>
      <c r="G9" s="2">
        <f t="shared" si="0"/>
        <v>750</v>
      </c>
    </row>
    <row r="10" spans="2:7" x14ac:dyDescent="0.35">
      <c r="B10" s="2">
        <v>4</v>
      </c>
      <c r="C10" s="1" t="s">
        <v>8</v>
      </c>
      <c r="D10" s="1" t="s">
        <v>18</v>
      </c>
      <c r="E10" s="2">
        <v>70</v>
      </c>
      <c r="F10" s="2">
        <v>18</v>
      </c>
      <c r="G10" s="2">
        <f t="shared" si="0"/>
        <v>1260</v>
      </c>
    </row>
    <row r="11" spans="2:7" x14ac:dyDescent="0.35">
      <c r="B11" s="2">
        <v>5</v>
      </c>
      <c r="C11" s="1" t="s">
        <v>9</v>
      </c>
      <c r="D11" s="1" t="s">
        <v>19</v>
      </c>
      <c r="E11" s="2">
        <v>20</v>
      </c>
      <c r="F11" s="2">
        <v>7</v>
      </c>
      <c r="G11" s="2">
        <f t="shared" si="0"/>
        <v>140</v>
      </c>
    </row>
    <row r="12" spans="2:7" x14ac:dyDescent="0.35">
      <c r="B12" s="2">
        <v>6</v>
      </c>
      <c r="C12" s="1" t="s">
        <v>10</v>
      </c>
      <c r="D12" s="1" t="s">
        <v>20</v>
      </c>
      <c r="E12" s="2">
        <v>40</v>
      </c>
      <c r="F12" s="2">
        <v>5</v>
      </c>
      <c r="G12" s="2">
        <f t="shared" si="0"/>
        <v>200</v>
      </c>
    </row>
    <row r="13" spans="2:7" x14ac:dyDescent="0.35">
      <c r="B13" s="2">
        <v>7</v>
      </c>
      <c r="C13" s="1" t="s">
        <v>11</v>
      </c>
      <c r="D13" s="1" t="s">
        <v>21</v>
      </c>
      <c r="E13" s="2">
        <v>120</v>
      </c>
      <c r="F13" s="2">
        <v>0</v>
      </c>
      <c r="G13" s="2">
        <f t="shared" si="0"/>
        <v>0</v>
      </c>
    </row>
    <row r="14" spans="2:7" x14ac:dyDescent="0.35">
      <c r="B14" s="2">
        <v>8</v>
      </c>
      <c r="C14" s="1" t="s">
        <v>12</v>
      </c>
      <c r="D14" s="1" t="s">
        <v>22</v>
      </c>
      <c r="E14" s="2">
        <v>20</v>
      </c>
      <c r="F14" s="2">
        <v>20</v>
      </c>
      <c r="G14" s="2">
        <f t="shared" si="0"/>
        <v>400</v>
      </c>
    </row>
    <row r="15" spans="2:7" x14ac:dyDescent="0.35">
      <c r="B15" s="2">
        <v>9</v>
      </c>
      <c r="C15" s="1" t="s">
        <v>13</v>
      </c>
      <c r="D15" s="1" t="s">
        <v>23</v>
      </c>
      <c r="E15" s="2">
        <v>15</v>
      </c>
      <c r="F15" s="2">
        <v>35</v>
      </c>
      <c r="G15" s="2">
        <f t="shared" si="0"/>
        <v>525</v>
      </c>
    </row>
    <row r="16" spans="2:7" x14ac:dyDescent="0.35">
      <c r="B16" s="2">
        <v>10</v>
      </c>
      <c r="C16" s="1" t="s">
        <v>14</v>
      </c>
      <c r="D16" s="1" t="s">
        <v>24</v>
      </c>
      <c r="E16" s="2">
        <v>15</v>
      </c>
      <c r="F16" s="2">
        <v>0</v>
      </c>
      <c r="G16" s="2">
        <f t="shared" si="0"/>
        <v>0</v>
      </c>
    </row>
    <row r="17" spans="2:7" x14ac:dyDescent="0.35">
      <c r="B17" s="2"/>
      <c r="C17" s="1"/>
      <c r="D17" s="1"/>
      <c r="E17" s="2"/>
      <c r="F17" s="2">
        <f>SUM(F7:F16)</f>
        <v>150</v>
      </c>
      <c r="G17" s="2">
        <f>SUM(G7:G16)</f>
        <v>18775</v>
      </c>
    </row>
  </sheetData>
  <mergeCells count="1">
    <mergeCell ref="B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inventory list tabeebz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Jawwad</dc:creator>
  <cp:lastModifiedBy>L200961Ammar Ahmed</cp:lastModifiedBy>
  <dcterms:created xsi:type="dcterms:W3CDTF">2015-06-05T18:17:20Z</dcterms:created>
  <dcterms:modified xsi:type="dcterms:W3CDTF">2025-04-28T22:18:34Z</dcterms:modified>
</cp:coreProperties>
</file>