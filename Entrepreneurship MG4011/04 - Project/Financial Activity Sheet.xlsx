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ruzm\Downloads\"/>
    </mc:Choice>
  </mc:AlternateContent>
  <xr:revisionPtr revIDLastSave="0" documentId="13_ncr:1_{2CAE1181-8F6F-4498-A0AC-1FCC9722F52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Balance Sheet" sheetId="1" r:id="rId1"/>
    <sheet name="Income Statement" sheetId="2" r:id="rId2"/>
    <sheet name="Notes to 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C34" i="1"/>
  <c r="F28" i="1"/>
  <c r="F36" i="1" s="1"/>
  <c r="C20" i="1"/>
  <c r="C22" i="1"/>
  <c r="C15" i="1"/>
  <c r="F12" i="1"/>
  <c r="H18" i="3"/>
  <c r="G18" i="3"/>
  <c r="F18" i="3"/>
  <c r="E18" i="3"/>
  <c r="D18" i="3"/>
  <c r="C18" i="3"/>
  <c r="H8" i="3"/>
  <c r="H8" i="2" s="1"/>
  <c r="H23" i="2" s="1"/>
  <c r="H29" i="2" s="1"/>
  <c r="G8" i="3"/>
  <c r="G8" i="2" s="1"/>
  <c r="G23" i="2" s="1"/>
  <c r="G29" i="2" s="1"/>
  <c r="F8" i="3"/>
  <c r="F8" i="2" s="1"/>
  <c r="F23" i="2" s="1"/>
  <c r="F29" i="2" s="1"/>
  <c r="E8" i="3"/>
  <c r="E8" i="2" s="1"/>
  <c r="E23" i="2" s="1"/>
  <c r="E29" i="2" s="1"/>
  <c r="D8" i="3"/>
  <c r="D8" i="2" s="1"/>
  <c r="D23" i="2" s="1"/>
  <c r="D29" i="2" s="1"/>
  <c r="C8" i="3"/>
  <c r="C8" i="2" s="1"/>
  <c r="C23" i="2" s="1"/>
  <c r="C29" i="2" s="1"/>
  <c r="C30" i="1"/>
  <c r="C28" i="1"/>
  <c r="C26" i="1"/>
  <c r="C24" i="1"/>
  <c r="F18" i="1"/>
  <c r="C36" i="1" l="1"/>
</calcChain>
</file>

<file path=xl/sharedStrings.xml><?xml version="1.0" encoding="utf-8"?>
<sst xmlns="http://schemas.openxmlformats.org/spreadsheetml/2006/main" count="127" uniqueCount="95">
  <si>
    <t>Balance Sheet</t>
  </si>
  <si>
    <t xml:space="preserve">For the Period End / As at </t>
  </si>
  <si>
    <t>Assets</t>
  </si>
  <si>
    <t>Amount</t>
  </si>
  <si>
    <t>Liabilities &amp; Owners Equity</t>
  </si>
  <si>
    <t>Rs.</t>
  </si>
  <si>
    <r>
      <rPr>
        <b/>
        <sz val="12"/>
        <color rgb="FF000000"/>
        <rFont val="Calibri"/>
      </rPr>
      <t>Working Capital (</t>
    </r>
    <r>
      <rPr>
        <b/>
        <sz val="11"/>
        <color rgb="FF000000"/>
        <rFont val="Calibri"/>
      </rPr>
      <t>Current/Short-term Assets</t>
    </r>
    <r>
      <rPr>
        <b/>
        <sz val="12"/>
        <color rgb="FF000000"/>
        <rFont val="Calibri"/>
      </rPr>
      <t>) having Useful Life ≤ 1 year</t>
    </r>
  </si>
  <si>
    <t>SHORT-TERM LIABILITIES (“= &lt; 1 Year”)</t>
  </si>
  <si>
    <r>
      <rPr>
        <sz val="12"/>
        <color theme="1"/>
        <rFont val="Calibri"/>
      </rPr>
      <t>Cash in Hand</t>
    </r>
    <r>
      <rPr>
        <sz val="11"/>
        <color theme="1"/>
        <rFont val="Calibri"/>
      </rPr>
      <t xml:space="preserve">    (Cash Till)</t>
    </r>
  </si>
  <si>
    <t xml:space="preserve">Advance from a Client/Customer </t>
  </si>
  <si>
    <r>
      <rPr>
        <sz val="12"/>
        <color theme="1"/>
        <rFont val="Calibri"/>
      </rPr>
      <t>Cash at Bank</t>
    </r>
    <r>
      <rPr>
        <sz val="11"/>
        <color theme="1"/>
        <rFont val="Calibri"/>
      </rPr>
      <t xml:space="preserve"> (Account)</t>
    </r>
  </si>
  <si>
    <t>Creditors (Accounts Payable)</t>
  </si>
  <si>
    <r>
      <rPr>
        <sz val="12"/>
        <color theme="1"/>
        <rFont val="Calibri"/>
      </rPr>
      <t>Inventory</t>
    </r>
    <r>
      <rPr>
        <sz val="11"/>
        <color theme="1"/>
        <rFont val="Calibri"/>
      </rPr>
      <t xml:space="preserve"> </t>
    </r>
    <r>
      <rPr>
        <sz val="10"/>
        <color theme="1"/>
        <rFont val="Calibri"/>
      </rPr>
      <t>(Stock/Goods/Merchandize)</t>
    </r>
  </si>
  <si>
    <t>Others</t>
  </si>
  <si>
    <r>
      <rPr>
        <sz val="12"/>
        <color theme="1"/>
        <rFont val="Calibri"/>
      </rPr>
      <t xml:space="preserve">Debtors </t>
    </r>
    <r>
      <rPr>
        <sz val="11"/>
        <color theme="1"/>
        <rFont val="Calibri"/>
      </rPr>
      <t>(Account Receivable)</t>
    </r>
  </si>
  <si>
    <t>Any Revenue Receivable</t>
  </si>
  <si>
    <t>Total Current Liabilities</t>
  </si>
  <si>
    <r>
      <rPr>
        <sz val="12"/>
        <color theme="1"/>
        <rFont val="Calibri"/>
      </rPr>
      <t>Any</t>
    </r>
    <r>
      <rPr>
        <sz val="12"/>
        <color rgb="FF000000"/>
        <rFont val="Calibri"/>
      </rPr>
      <t xml:space="preserve"> Security/Tools/Jigs etc. </t>
    </r>
  </si>
  <si>
    <t>Any short-term Loan/Debt given to:</t>
  </si>
  <si>
    <t>LONG-TERM LIABILITIES (&gt; 1 Year)</t>
  </si>
  <si>
    <t>Total Current Assets</t>
  </si>
  <si>
    <t>Loan from Family Members</t>
  </si>
  <si>
    <t xml:space="preserve">Loan from Friends </t>
  </si>
  <si>
    <r>
      <rPr>
        <sz val="12"/>
        <color rgb="FF000000"/>
        <rFont val="Calibri"/>
      </rPr>
      <t xml:space="preserve">Loan from </t>
    </r>
    <r>
      <rPr>
        <sz val="11"/>
        <color rgb="FF000000"/>
        <rFont val="Calibri"/>
      </rPr>
      <t>Financial Institution</t>
    </r>
  </si>
  <si>
    <t>Non-current (Long-term/Fixed) Assets having Useful Life &gt; 1 year</t>
  </si>
  <si>
    <t xml:space="preserve">Total Long term Liabilities </t>
  </si>
  <si>
    <t>Land</t>
  </si>
  <si>
    <t>Less: Depreciation</t>
  </si>
  <si>
    <t>CAPITAL / EQUITY  (Owner’s Funds for  “&gt; 1 Year”)</t>
  </si>
  <si>
    <t>Building</t>
  </si>
  <si>
    <t>Your own funds/savings</t>
  </si>
  <si>
    <t>Plant &amp; Machinery</t>
  </si>
  <si>
    <t>Funds from Family &amp; Friends</t>
  </si>
  <si>
    <t>(Non-repayable – you own)</t>
  </si>
  <si>
    <t>Equipment</t>
  </si>
  <si>
    <t>Any Other</t>
  </si>
  <si>
    <t>Profit (+) / Loss (-) / B.E. (0)</t>
  </si>
  <si>
    <t>Vehicles</t>
  </si>
  <si>
    <t>Total Capital / Equity</t>
  </si>
  <si>
    <t>Any other Asset</t>
  </si>
  <si>
    <t>Any long-term Loan/Debt availed to:</t>
  </si>
  <si>
    <t>IPRs / Intangible Assets</t>
  </si>
  <si>
    <t>TOTAL NON-CURRENT ASSETS</t>
  </si>
  <si>
    <t>TOTAL ASSETS</t>
  </si>
  <si>
    <t>Total Equities and Liabilities</t>
  </si>
  <si>
    <t>Income Statement</t>
  </si>
  <si>
    <t>For the duration of Month</t>
  </si>
  <si>
    <t>Sr.#</t>
  </si>
  <si>
    <t>Particulars &amp; Account Titles</t>
  </si>
  <si>
    <t>A</t>
  </si>
  <si>
    <t>Sales / Fee / Service Charges etc. (REVENUE) (N1)</t>
  </si>
  <si>
    <t>B</t>
  </si>
  <si>
    <t>Direct Costs (Total  Cost of a Product (Good/Service) (N2)</t>
  </si>
  <si>
    <t>C</t>
  </si>
  <si>
    <t>GROSS PROFIT ( = A – B )</t>
  </si>
  <si>
    <t>D</t>
  </si>
  <si>
    <t>Operating Expenses (Both Admin. &amp; Marketing)</t>
  </si>
  <si>
    <r>
      <rPr>
        <sz val="12"/>
        <color theme="1"/>
        <rFont val="Calibri"/>
      </rPr>
      <t xml:space="preserve">Salaries (Admin. &amp; Mktg.) (including </t>
    </r>
    <r>
      <rPr>
        <b/>
        <sz val="12"/>
        <color theme="1"/>
        <rFont val="Calibri"/>
      </rPr>
      <t>yours</t>
    </r>
    <r>
      <rPr>
        <sz val="12"/>
        <color theme="1"/>
        <rFont val="Calibri"/>
      </rPr>
      <t xml:space="preserve"> too)</t>
    </r>
  </si>
  <si>
    <t>Utility Bills (Admin. &amp; Mktg.)</t>
  </si>
  <si>
    <t>Logistics/Transportation Cost (Admin. &amp; Mktg.)</t>
  </si>
  <si>
    <t>Depreciation (Assets for Admin. &amp; Mktg.)</t>
  </si>
  <si>
    <t>Communication (Telephone, Mobile, Internet etc.)</t>
  </si>
  <si>
    <t>Insurance (Assets for Admin. &amp; Mktg.)</t>
  </si>
  <si>
    <t>Rent (Admin. &amp; Mktg.)</t>
  </si>
  <si>
    <t>Any other Admin. Expenses</t>
  </si>
  <si>
    <t>Sales Commission (Mktg.)</t>
  </si>
  <si>
    <t>Bad Debts / Uncollectible Amounts (Mktg.)</t>
  </si>
  <si>
    <t>Any other Marketing Expense</t>
  </si>
  <si>
    <t>E</t>
  </si>
  <si>
    <t>OPERATING PROFIT  ( = C – D )</t>
  </si>
  <si>
    <t>F</t>
  </si>
  <si>
    <t>Finance Cost / Financial Charges</t>
  </si>
  <si>
    <t xml:space="preserve">Interest Expense on Loan-1 </t>
  </si>
  <si>
    <t>Interest Expense on Loan-2</t>
  </si>
  <si>
    <t>G</t>
  </si>
  <si>
    <t>PROFIT BEFORE TAX  ( = E – F )</t>
  </si>
  <si>
    <t>Note 1</t>
  </si>
  <si>
    <t>Net Sales</t>
  </si>
  <si>
    <t>a</t>
  </si>
  <si>
    <t>Sales/Revenue of Product 1</t>
  </si>
  <si>
    <t>b</t>
  </si>
  <si>
    <t>Sales/Revenue of Product 2</t>
  </si>
  <si>
    <t>c</t>
  </si>
  <si>
    <t>Less: Returns</t>
  </si>
  <si>
    <t>Net Sales (a+b-c)</t>
  </si>
  <si>
    <t>Note 2</t>
  </si>
  <si>
    <t>Cost of Sales</t>
  </si>
  <si>
    <t>Material 1</t>
  </si>
  <si>
    <t>Material 2</t>
  </si>
  <si>
    <t>Labour (Wages)</t>
  </si>
  <si>
    <t>d</t>
  </si>
  <si>
    <t>Overheads</t>
  </si>
  <si>
    <t>Total Cost of Product</t>
  </si>
  <si>
    <t>PAK APP SOLUTIONS</t>
  </si>
  <si>
    <t xml:space="preserve">PAK APP SOLUTIONS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</si>
</sst>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4" fillId="4" borderId="9" xfId="0" applyFont="1" applyFill="1" applyBorder="1"/>
    <xf numFmtId="0" fontId="2" fillId="4" borderId="10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/>
    <xf numFmtId="0" fontId="2" fillId="0" borderId="8" xfId="0" applyFont="1" applyBorder="1"/>
    <xf numFmtId="0" fontId="5" fillId="0" borderId="9" xfId="0" applyFont="1" applyBorder="1"/>
    <xf numFmtId="0" fontId="6" fillId="0" borderId="9" xfId="0" applyFont="1" applyBorder="1"/>
    <xf numFmtId="0" fontId="2" fillId="4" borderId="8" xfId="0" applyFont="1" applyFill="1" applyBorder="1" applyAlignment="1">
      <alignment horizontal="right" vertical="center"/>
    </xf>
    <xf numFmtId="0" fontId="7" fillId="0" borderId="9" xfId="0" applyFont="1" applyBorder="1"/>
    <xf numFmtId="0" fontId="1" fillId="4" borderId="9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/>
    </xf>
    <xf numFmtId="0" fontId="2" fillId="0" borderId="13" xfId="0" applyFont="1" applyBorder="1"/>
    <xf numFmtId="0" fontId="4" fillId="0" borderId="9" xfId="0" applyFont="1" applyBorder="1"/>
    <xf numFmtId="0" fontId="2" fillId="0" borderId="8" xfId="0" applyFont="1" applyBorder="1" applyAlignment="1">
      <alignment horizontal="center" vertical="center"/>
    </xf>
    <xf numFmtId="0" fontId="8" fillId="0" borderId="9" xfId="0" applyFont="1" applyBorder="1"/>
    <xf numFmtId="0" fontId="1" fillId="0" borderId="9" xfId="0" applyFont="1" applyBorder="1"/>
    <xf numFmtId="0" fontId="2" fillId="5" borderId="19" xfId="0" applyFont="1" applyFill="1" applyBorder="1"/>
    <xf numFmtId="0" fontId="2" fillId="5" borderId="20" xfId="0" applyFont="1" applyFill="1" applyBorder="1"/>
    <xf numFmtId="0" fontId="4" fillId="2" borderId="10" xfId="0" applyFont="1" applyFill="1" applyBorder="1" applyAlignment="1">
      <alignment vertical="center"/>
    </xf>
    <xf numFmtId="17" fontId="4" fillId="2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2" fillId="0" borderId="23" xfId="0" applyFont="1" applyBorder="1" applyAlignment="1">
      <alignment vertical="center"/>
    </xf>
    <xf numFmtId="3" fontId="9" fillId="0" borderId="0" xfId="0" applyNumberFormat="1" applyFont="1"/>
    <xf numFmtId="0" fontId="4" fillId="0" borderId="13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1" fillId="4" borderId="26" xfId="0" applyFont="1" applyFill="1" applyBorder="1" applyAlignment="1">
      <alignment vertical="center"/>
    </xf>
    <xf numFmtId="0" fontId="0" fillId="0" borderId="24" xfId="0" applyBorder="1"/>
    <xf numFmtId="0" fontId="2" fillId="0" borderId="1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5" borderId="17" xfId="0" applyFont="1" applyFill="1" applyBorder="1" applyAlignment="1">
      <alignment horizontal="left"/>
    </xf>
    <xf numFmtId="0" fontId="3" fillId="0" borderId="18" xfId="0" applyFont="1" applyBorder="1"/>
    <xf numFmtId="0" fontId="1" fillId="5" borderId="17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4" fillId="4" borderId="11" xfId="0" applyFont="1" applyFill="1" applyBorder="1" applyAlignment="1">
      <alignment horizontal="left" vertical="center"/>
    </xf>
    <xf numFmtId="0" fontId="3" fillId="0" borderId="12" xfId="0" applyFont="1" applyBorder="1"/>
    <xf numFmtId="0" fontId="4" fillId="4" borderId="11" xfId="0" applyFont="1" applyFill="1" applyBorder="1" applyAlignment="1">
      <alignment horizontal="right"/>
    </xf>
    <xf numFmtId="0" fontId="4" fillId="0" borderId="11" xfId="0" applyFont="1" applyBorder="1" applyAlignment="1">
      <alignment horizontal="left" vertical="center"/>
    </xf>
    <xf numFmtId="0" fontId="3" fillId="0" borderId="15" xfId="0" applyFont="1" applyBorder="1"/>
    <xf numFmtId="0" fontId="3" fillId="0" borderId="16" xfId="0" applyFont="1" applyBorder="1"/>
    <xf numFmtId="0" fontId="4" fillId="4" borderId="11" xfId="0" applyFont="1" applyFill="1" applyBorder="1" applyAlignment="1">
      <alignment horizontal="right" vertical="center"/>
    </xf>
    <xf numFmtId="0" fontId="1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1" fillId="0" borderId="0" xfId="0" applyFont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2" fillId="4" borderId="2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8" zoomScaleNormal="88" workbookViewId="0">
      <selection sqref="A1:F1"/>
    </sheetView>
  </sheetViews>
  <sheetFormatPr defaultColWidth="14.453125" defaultRowHeight="15" customHeight="1" x14ac:dyDescent="0.35"/>
  <cols>
    <col min="1" max="1" width="70.08984375" customWidth="1"/>
    <col min="2" max="2" width="13.90625" customWidth="1"/>
    <col min="3" max="3" width="15.08984375" customWidth="1"/>
    <col min="4" max="4" width="36.08984375" customWidth="1"/>
    <col min="5" max="5" width="14.90625" customWidth="1"/>
    <col min="6" max="6" width="15.54296875" customWidth="1"/>
    <col min="7" max="26" width="8.6328125" customWidth="1"/>
  </cols>
  <sheetData>
    <row r="1" spans="1:26" ht="15.5" x14ac:dyDescent="0.35">
      <c r="A1" s="50" t="s">
        <v>93</v>
      </c>
      <c r="B1" s="51"/>
      <c r="C1" s="51"/>
      <c r="D1" s="51"/>
      <c r="E1" s="51"/>
      <c r="F1" s="5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x14ac:dyDescent="0.35">
      <c r="A2" s="50" t="s">
        <v>0</v>
      </c>
      <c r="B2" s="51"/>
      <c r="C2" s="51"/>
      <c r="D2" s="51"/>
      <c r="E2" s="51"/>
      <c r="F2" s="5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25" customHeight="1" x14ac:dyDescent="0.35">
      <c r="A3" s="50" t="s">
        <v>1</v>
      </c>
      <c r="B3" s="51"/>
      <c r="C3" s="51"/>
      <c r="D3" s="51"/>
      <c r="E3" s="51"/>
      <c r="F3" s="5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52" t="s">
        <v>2</v>
      </c>
      <c r="B4" s="53"/>
      <c r="C4" s="2" t="s">
        <v>3</v>
      </c>
      <c r="D4" s="52" t="s">
        <v>4</v>
      </c>
      <c r="E4" s="53"/>
      <c r="F4" s="3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4"/>
      <c r="B5" s="5"/>
      <c r="C5" s="6" t="s">
        <v>5</v>
      </c>
      <c r="D5" s="4"/>
      <c r="E5" s="5"/>
      <c r="F5" s="7" t="s">
        <v>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x14ac:dyDescent="0.35">
      <c r="A6" s="8" t="s">
        <v>6</v>
      </c>
      <c r="B6" s="9"/>
      <c r="C6" s="10"/>
      <c r="D6" s="54" t="s">
        <v>7</v>
      </c>
      <c r="E6" s="55"/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x14ac:dyDescent="0.35">
      <c r="A7" s="12"/>
      <c r="B7" s="13"/>
      <c r="C7" s="14"/>
      <c r="D7" s="15"/>
      <c r="E7" s="13"/>
      <c r="F7" s="1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2" t="s">
        <v>8</v>
      </c>
      <c r="B8" s="13"/>
      <c r="C8" s="13">
        <v>1000000</v>
      </c>
      <c r="D8" s="17" t="s">
        <v>9</v>
      </c>
      <c r="E8" s="13"/>
      <c r="F8" s="16">
        <v>200000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2" t="s">
        <v>10</v>
      </c>
      <c r="B9" s="13"/>
      <c r="C9" s="13">
        <v>20000000</v>
      </c>
      <c r="D9" s="18" t="s">
        <v>11</v>
      </c>
      <c r="E9" s="13"/>
      <c r="F9" s="16">
        <v>500000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2" t="s">
        <v>12</v>
      </c>
      <c r="B10" s="13"/>
      <c r="C10" s="13">
        <v>500000</v>
      </c>
      <c r="D10" s="18" t="s">
        <v>13</v>
      </c>
      <c r="E10" s="13"/>
      <c r="F10" s="16">
        <v>100000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12" t="s">
        <v>14</v>
      </c>
      <c r="B11" s="13"/>
      <c r="C11" s="13">
        <v>300000</v>
      </c>
      <c r="D11" s="12"/>
      <c r="E11" s="13"/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12" t="s">
        <v>15</v>
      </c>
      <c r="B12" s="13"/>
      <c r="C12" s="13">
        <v>200000</v>
      </c>
      <c r="D12" s="56" t="s">
        <v>16</v>
      </c>
      <c r="E12" s="55"/>
      <c r="F12" s="19">
        <f>SUM(E8:F10)</f>
        <v>800000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12" t="s">
        <v>17</v>
      </c>
      <c r="B13" s="13"/>
      <c r="C13" s="13">
        <v>100000</v>
      </c>
      <c r="D13" s="20"/>
      <c r="E13" s="13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12" t="s">
        <v>18</v>
      </c>
      <c r="B14" s="13"/>
      <c r="C14" s="13">
        <v>50000</v>
      </c>
      <c r="D14" s="57" t="s">
        <v>19</v>
      </c>
      <c r="E14" s="55"/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21" t="s">
        <v>20</v>
      </c>
      <c r="B15" s="9"/>
      <c r="C15" s="22">
        <f>SUM(C8:C14)</f>
        <v>22150000</v>
      </c>
      <c r="D15" s="18" t="s">
        <v>21</v>
      </c>
      <c r="E15" s="13"/>
      <c r="F15" s="16">
        <v>1000000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12"/>
      <c r="B16" s="13"/>
      <c r="C16" s="23"/>
      <c r="D16" s="18" t="s">
        <v>22</v>
      </c>
      <c r="E16" s="13"/>
      <c r="F16" s="16">
        <v>500000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15"/>
      <c r="B17" s="1"/>
      <c r="C17" s="1"/>
      <c r="D17" s="18" t="s">
        <v>23</v>
      </c>
      <c r="E17" s="13"/>
      <c r="F17" s="16">
        <v>1500000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54" t="s">
        <v>24</v>
      </c>
      <c r="B18" s="58"/>
      <c r="C18" s="59"/>
      <c r="D18" s="60" t="s">
        <v>25</v>
      </c>
      <c r="E18" s="55"/>
      <c r="F18" s="19">
        <f>SUM(F15:F17)</f>
        <v>3000000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24" t="s">
        <v>26</v>
      </c>
      <c r="B19" s="13">
        <v>2500000</v>
      </c>
      <c r="C19" s="23"/>
      <c r="D19" s="12"/>
      <c r="E19" s="13"/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26" t="s">
        <v>27</v>
      </c>
      <c r="B20" s="13">
        <v>200000</v>
      </c>
      <c r="C20" s="23">
        <f>B19-B20</f>
        <v>2300000</v>
      </c>
      <c r="D20" s="57" t="s">
        <v>28</v>
      </c>
      <c r="E20" s="55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x14ac:dyDescent="0.35">
      <c r="A21" s="24" t="s">
        <v>29</v>
      </c>
      <c r="B21" s="13">
        <v>3000000</v>
      </c>
      <c r="C21" s="23"/>
      <c r="D21" s="24"/>
      <c r="E21" s="13"/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x14ac:dyDescent="0.35">
      <c r="A22" s="26" t="s">
        <v>27</v>
      </c>
      <c r="B22" s="13">
        <v>150000</v>
      </c>
      <c r="C22" s="23">
        <f>B21-B22</f>
        <v>2850000</v>
      </c>
      <c r="D22" s="18" t="s">
        <v>30</v>
      </c>
      <c r="E22" s="13"/>
      <c r="F22" s="25">
        <v>2000000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24" t="s">
        <v>31</v>
      </c>
      <c r="B23" s="13">
        <v>1000000</v>
      </c>
      <c r="C23" s="23"/>
      <c r="D23" s="18" t="s">
        <v>32</v>
      </c>
      <c r="E23" s="13"/>
      <c r="F23" s="25">
        <f>1000000+21760000</f>
        <v>22760000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26" t="s">
        <v>27</v>
      </c>
      <c r="B24" s="13">
        <v>100000</v>
      </c>
      <c r="C24" s="23">
        <f>B23-B24</f>
        <v>900000</v>
      </c>
      <c r="D24" s="18" t="s">
        <v>33</v>
      </c>
      <c r="E24" s="13"/>
      <c r="F24" s="25">
        <v>500000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27" t="s">
        <v>34</v>
      </c>
      <c r="B25" s="13">
        <v>600000</v>
      </c>
      <c r="C25" s="23"/>
      <c r="D25" s="18" t="s">
        <v>35</v>
      </c>
      <c r="E25" s="13"/>
      <c r="F25" s="25">
        <v>100000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26" t="s">
        <v>27</v>
      </c>
      <c r="B26" s="13">
        <v>50000</v>
      </c>
      <c r="C26" s="23">
        <f>B25-B26</f>
        <v>550000</v>
      </c>
      <c r="D26" s="18" t="s">
        <v>36</v>
      </c>
      <c r="E26" s="13"/>
      <c r="F26" s="25">
        <v>50000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27" t="s">
        <v>37</v>
      </c>
      <c r="B27" s="13">
        <v>400000</v>
      </c>
      <c r="C27" s="23"/>
      <c r="D27" s="12"/>
      <c r="E27" s="13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26" t="s">
        <v>27</v>
      </c>
      <c r="B28" s="13">
        <v>30000</v>
      </c>
      <c r="C28" s="23">
        <f>B27-B28</f>
        <v>370000</v>
      </c>
      <c r="D28" s="60" t="s">
        <v>38</v>
      </c>
      <c r="E28" s="55"/>
      <c r="F28" s="19">
        <f>SUM(F22:F26)</f>
        <v>25410000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27" t="s">
        <v>39</v>
      </c>
      <c r="B29" s="13">
        <v>100000</v>
      </c>
      <c r="C29" s="23"/>
      <c r="D29" s="12"/>
      <c r="E29" s="13"/>
      <c r="F29" s="1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26" t="s">
        <v>27</v>
      </c>
      <c r="B30" s="13">
        <v>10000</v>
      </c>
      <c r="C30" s="23">
        <f>B29-B30</f>
        <v>90000</v>
      </c>
      <c r="D30" s="12"/>
      <c r="E30" s="13"/>
      <c r="F30" s="1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27" t="s">
        <v>40</v>
      </c>
      <c r="B31" s="13">
        <v>300000</v>
      </c>
      <c r="C31" s="23"/>
      <c r="D31" s="12"/>
      <c r="E31" s="13"/>
      <c r="F31" s="1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27" t="s">
        <v>41</v>
      </c>
      <c r="B32" s="13">
        <v>100000</v>
      </c>
      <c r="C32" s="23"/>
      <c r="D32" s="12"/>
      <c r="E32" s="13"/>
      <c r="F32" s="1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2"/>
      <c r="B33" s="13"/>
      <c r="C33" s="23"/>
      <c r="D33" s="12"/>
      <c r="E33" s="13"/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21" t="s">
        <v>42</v>
      </c>
      <c r="B34" s="9"/>
      <c r="C34" s="22">
        <f>SUM(C19:C32)</f>
        <v>7060000</v>
      </c>
      <c r="D34" s="12"/>
      <c r="E34" s="13"/>
      <c r="F34" s="1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2"/>
      <c r="B35" s="13"/>
      <c r="C35" s="23"/>
      <c r="D35" s="12"/>
      <c r="E35" s="13"/>
      <c r="F35" s="1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47" t="s">
        <v>43</v>
      </c>
      <c r="B36" s="48"/>
      <c r="C36" s="28">
        <f>C34+C15</f>
        <v>29210000</v>
      </c>
      <c r="D36" s="49" t="s">
        <v>44</v>
      </c>
      <c r="E36" s="48"/>
      <c r="F36" s="29">
        <f>F28+F18+F12</f>
        <v>29210000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A36:B36"/>
    <mergeCell ref="D36:E36"/>
    <mergeCell ref="A1:F1"/>
    <mergeCell ref="A2:F2"/>
    <mergeCell ref="A3:F3"/>
    <mergeCell ref="A4:B4"/>
    <mergeCell ref="D4:E4"/>
    <mergeCell ref="D6:E6"/>
    <mergeCell ref="D12:E12"/>
    <mergeCell ref="D14:E14"/>
    <mergeCell ref="A18:C18"/>
    <mergeCell ref="D18:E18"/>
    <mergeCell ref="D20:E20"/>
    <mergeCell ref="D28:E2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9" workbookViewId="0">
      <selection activeCell="B21" sqref="B21"/>
    </sheetView>
  </sheetViews>
  <sheetFormatPr defaultColWidth="14.453125" defaultRowHeight="15" customHeight="1" x14ac:dyDescent="0.35"/>
  <cols>
    <col min="1" max="1" width="4.36328125" customWidth="1"/>
    <col min="2" max="2" width="59.54296875" customWidth="1"/>
    <col min="3" max="4" width="14.453125" customWidth="1"/>
    <col min="5" max="8" width="13.6328125" customWidth="1"/>
    <col min="9" max="26" width="8.6328125" customWidth="1"/>
  </cols>
  <sheetData>
    <row r="1" spans="1:26" ht="15.5" x14ac:dyDescent="0.35">
      <c r="A1" s="50" t="s">
        <v>94</v>
      </c>
      <c r="B1" s="51"/>
      <c r="C1" s="51"/>
      <c r="D1" s="51"/>
      <c r="E1" s="51"/>
      <c r="F1" s="51"/>
      <c r="G1" s="51"/>
      <c r="H1" s="5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50" t="s">
        <v>45</v>
      </c>
      <c r="B2" s="51"/>
      <c r="C2" s="51"/>
      <c r="D2" s="51"/>
      <c r="E2" s="51"/>
      <c r="F2" s="51"/>
      <c r="G2" s="51"/>
      <c r="H2" s="5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61" t="s">
        <v>46</v>
      </c>
      <c r="B3" s="62"/>
      <c r="C3" s="62"/>
      <c r="D3" s="62"/>
      <c r="E3" s="62"/>
      <c r="F3" s="62"/>
      <c r="G3" s="62"/>
      <c r="H3" s="6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30" t="s">
        <v>47</v>
      </c>
      <c r="B4" s="30" t="s">
        <v>48</v>
      </c>
      <c r="C4" s="31">
        <v>45839</v>
      </c>
      <c r="D4" s="31">
        <v>45870</v>
      </c>
      <c r="E4" s="31">
        <v>45901</v>
      </c>
      <c r="F4" s="31">
        <v>45931</v>
      </c>
      <c r="G4" s="31">
        <v>45962</v>
      </c>
      <c r="H4" s="31">
        <v>45992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5" x14ac:dyDescent="0.35">
      <c r="A5" s="32"/>
      <c r="B5" s="33"/>
      <c r="C5" s="41" t="s">
        <v>5</v>
      </c>
      <c r="D5" s="41" t="s">
        <v>5</v>
      </c>
      <c r="E5" s="41" t="s">
        <v>5</v>
      </c>
      <c r="F5" s="41" t="s">
        <v>5</v>
      </c>
      <c r="G5" s="41" t="s">
        <v>5</v>
      </c>
      <c r="H5" s="41" t="s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5" x14ac:dyDescent="0.35">
      <c r="A6" s="32" t="s">
        <v>49</v>
      </c>
      <c r="B6" s="40" t="s">
        <v>50</v>
      </c>
      <c r="C6" s="43">
        <v>500000</v>
      </c>
      <c r="D6" s="43">
        <v>750000</v>
      </c>
      <c r="E6" s="43">
        <v>1000000</v>
      </c>
      <c r="F6" s="43">
        <v>1250000</v>
      </c>
      <c r="G6" s="43">
        <v>1500000</v>
      </c>
      <c r="H6" s="43">
        <v>2000000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x14ac:dyDescent="0.35">
      <c r="A7" s="32" t="s">
        <v>51</v>
      </c>
      <c r="B7" s="40" t="s">
        <v>52</v>
      </c>
      <c r="C7" s="43">
        <v>200000</v>
      </c>
      <c r="D7" s="43">
        <v>300000</v>
      </c>
      <c r="E7" s="43">
        <v>400000</v>
      </c>
      <c r="F7" s="43">
        <v>500000</v>
      </c>
      <c r="G7" s="43">
        <v>600000</v>
      </c>
      <c r="H7" s="43">
        <v>800000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35" t="s">
        <v>53</v>
      </c>
      <c r="B8" s="36" t="s">
        <v>54</v>
      </c>
      <c r="C8" s="42">
        <f t="shared" ref="C8:H8" si="0">C6-C7</f>
        <v>300000</v>
      </c>
      <c r="D8" s="42">
        <f t="shared" si="0"/>
        <v>450000</v>
      </c>
      <c r="E8" s="42">
        <f t="shared" si="0"/>
        <v>600000</v>
      </c>
      <c r="F8" s="42">
        <f t="shared" si="0"/>
        <v>750000</v>
      </c>
      <c r="G8" s="42">
        <f t="shared" si="0"/>
        <v>900000</v>
      </c>
      <c r="H8" s="42">
        <f t="shared" si="0"/>
        <v>1200000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32"/>
      <c r="B9" s="34"/>
      <c r="C9" s="38"/>
      <c r="D9" s="38"/>
      <c r="E9" s="38"/>
      <c r="F9" s="38"/>
      <c r="G9" s="38"/>
      <c r="H9" s="3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32" t="s">
        <v>55</v>
      </c>
      <c r="B10" s="33" t="s">
        <v>56</v>
      </c>
      <c r="C10" s="45"/>
      <c r="D10" s="45"/>
      <c r="E10" s="45"/>
      <c r="F10" s="45"/>
      <c r="G10" s="45"/>
      <c r="H10" s="4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32"/>
      <c r="B11" s="44" t="s">
        <v>57</v>
      </c>
      <c r="C11" s="43">
        <v>300000</v>
      </c>
      <c r="D11" s="43">
        <v>300000</v>
      </c>
      <c r="E11" s="43">
        <v>300000</v>
      </c>
      <c r="F11" s="43">
        <v>300000</v>
      </c>
      <c r="G11" s="43">
        <v>300000</v>
      </c>
      <c r="H11" s="43">
        <v>300000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32"/>
      <c r="B12" s="44" t="s">
        <v>58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32"/>
      <c r="B13" s="44" t="s">
        <v>59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32"/>
      <c r="B14" s="44" t="s">
        <v>60</v>
      </c>
      <c r="C14" s="43">
        <v>4167</v>
      </c>
      <c r="D14" s="43">
        <v>4167</v>
      </c>
      <c r="E14" s="43">
        <v>4167</v>
      </c>
      <c r="F14" s="43">
        <v>4167</v>
      </c>
      <c r="G14" s="43">
        <v>4167</v>
      </c>
      <c r="H14" s="43">
        <v>4167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32"/>
      <c r="B15" s="44" t="s">
        <v>61</v>
      </c>
      <c r="C15" s="46">
        <v>0</v>
      </c>
      <c r="D15" s="46">
        <v>0</v>
      </c>
      <c r="E15" s="46">
        <v>0</v>
      </c>
      <c r="F15" s="46">
        <v>0</v>
      </c>
      <c r="G15" s="46">
        <v>0</v>
      </c>
      <c r="H15" s="46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32"/>
      <c r="B16" s="44" t="s">
        <v>62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32"/>
      <c r="B17" s="44" t="s">
        <v>63</v>
      </c>
      <c r="C17" s="43">
        <v>50000</v>
      </c>
      <c r="D17" s="43">
        <v>50000</v>
      </c>
      <c r="E17" s="43">
        <v>50000</v>
      </c>
      <c r="F17" s="43">
        <v>50000</v>
      </c>
      <c r="G17" s="43">
        <v>50000</v>
      </c>
      <c r="H17" s="43">
        <v>50000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32"/>
      <c r="B18" s="44" t="s">
        <v>64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32"/>
      <c r="B19" s="44" t="s">
        <v>65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32"/>
      <c r="B20" s="44" t="s">
        <v>66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5" x14ac:dyDescent="0.35">
      <c r="A21" s="32"/>
      <c r="B21" s="44" t="s">
        <v>67</v>
      </c>
      <c r="C21" s="43">
        <v>50000</v>
      </c>
      <c r="D21" s="43">
        <v>50000</v>
      </c>
      <c r="E21" s="43">
        <v>75000</v>
      </c>
      <c r="F21" s="43">
        <v>75000</v>
      </c>
      <c r="G21" s="43">
        <v>100000</v>
      </c>
      <c r="H21" s="43">
        <v>100000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5" x14ac:dyDescent="0.35">
      <c r="A22" s="32"/>
      <c r="B22" s="34"/>
      <c r="C22" s="38"/>
      <c r="D22" s="38"/>
      <c r="E22" s="38"/>
      <c r="F22" s="38"/>
      <c r="G22" s="38"/>
      <c r="H22" s="3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5" x14ac:dyDescent="0.35">
      <c r="A23" s="35" t="s">
        <v>68</v>
      </c>
      <c r="B23" s="36" t="s">
        <v>69</v>
      </c>
      <c r="C23" s="37">
        <f t="shared" ref="C23:H23" si="1">C8-SUM(C11:C21)</f>
        <v>-104167</v>
      </c>
      <c r="D23" s="37">
        <f t="shared" si="1"/>
        <v>45833</v>
      </c>
      <c r="E23" s="37">
        <f t="shared" si="1"/>
        <v>170833</v>
      </c>
      <c r="F23" s="37">
        <f t="shared" si="1"/>
        <v>320833</v>
      </c>
      <c r="G23" s="37">
        <f t="shared" si="1"/>
        <v>445833</v>
      </c>
      <c r="H23" s="37">
        <f t="shared" si="1"/>
        <v>745833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35">
      <c r="A24" s="32"/>
      <c r="B24" s="34"/>
      <c r="C24" s="38"/>
      <c r="D24" s="38"/>
      <c r="E24" s="38"/>
      <c r="F24" s="38"/>
      <c r="G24" s="38"/>
      <c r="H24" s="3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5" x14ac:dyDescent="0.35">
      <c r="A25" s="32" t="s">
        <v>70</v>
      </c>
      <c r="B25" s="33" t="s">
        <v>71</v>
      </c>
      <c r="C25" s="45"/>
      <c r="D25" s="45"/>
      <c r="E25" s="45"/>
      <c r="F25" s="45"/>
      <c r="G25" s="45"/>
      <c r="H25" s="4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5" x14ac:dyDescent="0.35">
      <c r="A26" s="32"/>
      <c r="B26" s="44" t="s">
        <v>72</v>
      </c>
      <c r="C26" s="43">
        <v>20000</v>
      </c>
      <c r="D26" s="43">
        <v>20000</v>
      </c>
      <c r="E26" s="43">
        <v>20000</v>
      </c>
      <c r="F26" s="43">
        <v>20000</v>
      </c>
      <c r="G26" s="43">
        <v>20000</v>
      </c>
      <c r="H26" s="43">
        <v>20000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5" x14ac:dyDescent="0.35">
      <c r="A27" s="32"/>
      <c r="B27" s="44" t="s">
        <v>73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5" x14ac:dyDescent="0.35">
      <c r="A28" s="32"/>
      <c r="B28" s="34"/>
      <c r="C28" s="38"/>
      <c r="D28" s="38"/>
      <c r="E28" s="38"/>
      <c r="F28" s="38"/>
      <c r="G28" s="38"/>
      <c r="H28" s="3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5" x14ac:dyDescent="0.35">
      <c r="A29" s="35" t="s">
        <v>74</v>
      </c>
      <c r="B29" s="36" t="s">
        <v>75</v>
      </c>
      <c r="C29" s="37">
        <f t="shared" ref="C29:H29" si="2">C23-SUM(C26:C27)</f>
        <v>-124167</v>
      </c>
      <c r="D29" s="37">
        <f t="shared" si="2"/>
        <v>25833</v>
      </c>
      <c r="E29" s="37">
        <f t="shared" si="2"/>
        <v>150833</v>
      </c>
      <c r="F29" s="37">
        <f t="shared" si="2"/>
        <v>300833</v>
      </c>
      <c r="G29" s="37">
        <f t="shared" si="2"/>
        <v>425833</v>
      </c>
      <c r="H29" s="37">
        <f t="shared" si="2"/>
        <v>725833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5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5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5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5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5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5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5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H1"/>
    <mergeCell ref="A2:H2"/>
    <mergeCell ref="A3:H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zoomScale="88" workbookViewId="0">
      <selection activeCell="H5" sqref="H5"/>
    </sheetView>
  </sheetViews>
  <sheetFormatPr defaultColWidth="14.453125" defaultRowHeight="15" customHeight="1" x14ac:dyDescent="0.35"/>
  <cols>
    <col min="1" max="1" width="4.36328125" customWidth="1"/>
    <col min="2" max="2" width="50.54296875" customWidth="1"/>
    <col min="3" max="3" width="10.90625" customWidth="1"/>
    <col min="4" max="4" width="10" customWidth="1"/>
    <col min="5" max="8" width="10.453125" customWidth="1"/>
    <col min="9" max="26" width="8.6328125" customWidth="1"/>
  </cols>
  <sheetData>
    <row r="1" spans="1:8" ht="14.25" customHeight="1" x14ac:dyDescent="0.35">
      <c r="A1" s="63" t="s">
        <v>76</v>
      </c>
      <c r="B1" s="51"/>
      <c r="C1" s="51"/>
      <c r="D1" s="51"/>
      <c r="E1" s="51"/>
    </row>
    <row r="2" spans="1:8" ht="14.25" customHeight="1" x14ac:dyDescent="0.35">
      <c r="A2" s="63" t="s">
        <v>77</v>
      </c>
      <c r="B2" s="51"/>
      <c r="C2" s="51"/>
      <c r="D2" s="51"/>
      <c r="E2" s="51"/>
    </row>
    <row r="3" spans="1:8" ht="14.25" customHeight="1" x14ac:dyDescent="0.35">
      <c r="A3" s="30" t="s">
        <v>47</v>
      </c>
      <c r="B3" s="30" t="s">
        <v>48</v>
      </c>
      <c r="C3" s="31">
        <v>45839</v>
      </c>
      <c r="D3" s="31">
        <v>45870</v>
      </c>
      <c r="E3" s="31">
        <v>45901</v>
      </c>
      <c r="F3" s="31">
        <v>45931</v>
      </c>
      <c r="G3" s="31">
        <v>45962</v>
      </c>
      <c r="H3" s="31">
        <v>45992</v>
      </c>
    </row>
    <row r="4" spans="1:8" ht="14.25" customHeight="1" x14ac:dyDescent="0.35">
      <c r="A4" s="32"/>
      <c r="B4" s="33"/>
      <c r="C4" s="41" t="s">
        <v>5</v>
      </c>
      <c r="D4" s="41" t="s">
        <v>5</v>
      </c>
      <c r="E4" s="41" t="s">
        <v>5</v>
      </c>
      <c r="F4" s="41" t="s">
        <v>5</v>
      </c>
      <c r="G4" s="41" t="s">
        <v>5</v>
      </c>
      <c r="H4" s="41" t="s">
        <v>5</v>
      </c>
    </row>
    <row r="5" spans="1:8" ht="14.25" customHeight="1" x14ac:dyDescent="0.35">
      <c r="A5" s="32" t="s">
        <v>78</v>
      </c>
      <c r="B5" s="64" t="s">
        <v>79</v>
      </c>
      <c r="C5" s="43">
        <v>400000</v>
      </c>
      <c r="D5" s="43">
        <v>600000</v>
      </c>
      <c r="E5" s="43">
        <v>800000</v>
      </c>
      <c r="F5" s="43">
        <v>1000000</v>
      </c>
      <c r="G5" s="43">
        <v>1200000</v>
      </c>
      <c r="H5" s="43">
        <v>1600000</v>
      </c>
    </row>
    <row r="6" spans="1:8" ht="14.25" customHeight="1" x14ac:dyDescent="0.35">
      <c r="A6" s="32" t="s">
        <v>80</v>
      </c>
      <c r="B6" s="64" t="s">
        <v>81</v>
      </c>
      <c r="C6" s="43">
        <v>100000</v>
      </c>
      <c r="D6" s="43">
        <v>150000</v>
      </c>
      <c r="E6" s="43">
        <v>200000</v>
      </c>
      <c r="F6" s="43">
        <v>250000</v>
      </c>
      <c r="G6" s="43">
        <v>300000</v>
      </c>
      <c r="H6" s="43">
        <v>400000</v>
      </c>
    </row>
    <row r="7" spans="1:8" ht="14.25" customHeight="1" x14ac:dyDescent="0.35">
      <c r="A7" s="32" t="s">
        <v>82</v>
      </c>
      <c r="B7" s="64" t="s">
        <v>83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</row>
    <row r="8" spans="1:8" ht="14.25" customHeight="1" x14ac:dyDescent="0.35">
      <c r="A8" s="35"/>
      <c r="B8" s="36" t="s">
        <v>84</v>
      </c>
      <c r="C8" s="65">
        <f t="shared" ref="C8:H8" si="0">SUM(C5:C6)-C7</f>
        <v>500000</v>
      </c>
      <c r="D8" s="65">
        <f t="shared" si="0"/>
        <v>750000</v>
      </c>
      <c r="E8" s="65">
        <f t="shared" si="0"/>
        <v>1000000</v>
      </c>
      <c r="F8" s="65">
        <f t="shared" si="0"/>
        <v>1250000</v>
      </c>
      <c r="G8" s="65">
        <f t="shared" si="0"/>
        <v>1500000</v>
      </c>
      <c r="H8" s="65">
        <f t="shared" si="0"/>
        <v>2000000</v>
      </c>
    </row>
    <row r="9" spans="1:8" ht="14.25" customHeight="1" x14ac:dyDescent="0.35"/>
    <row r="10" spans="1:8" ht="14.25" customHeight="1" x14ac:dyDescent="0.35">
      <c r="A10" s="63" t="s">
        <v>85</v>
      </c>
      <c r="B10" s="51"/>
      <c r="C10" s="51"/>
      <c r="D10" s="51"/>
      <c r="E10" s="51"/>
      <c r="G10" s="39"/>
    </row>
    <row r="11" spans="1:8" ht="14.25" customHeight="1" x14ac:dyDescent="0.35">
      <c r="A11" s="63" t="s">
        <v>86</v>
      </c>
      <c r="B11" s="51"/>
      <c r="C11" s="51"/>
      <c r="D11" s="51"/>
      <c r="E11" s="51"/>
      <c r="G11" s="39"/>
    </row>
    <row r="12" spans="1:8" ht="14.25" customHeight="1" x14ac:dyDescent="0.35">
      <c r="A12" s="30" t="s">
        <v>47</v>
      </c>
      <c r="B12" s="30" t="s">
        <v>48</v>
      </c>
      <c r="C12" s="31">
        <v>45839</v>
      </c>
      <c r="D12" s="31">
        <v>45870</v>
      </c>
      <c r="E12" s="31">
        <v>45901</v>
      </c>
      <c r="F12" s="31">
        <v>45931</v>
      </c>
      <c r="G12" s="31">
        <v>45962</v>
      </c>
      <c r="H12" s="31">
        <v>45992</v>
      </c>
    </row>
    <row r="13" spans="1:8" ht="14.25" customHeight="1" x14ac:dyDescent="0.35">
      <c r="A13" s="32"/>
      <c r="B13" s="33"/>
      <c r="C13" s="41" t="s">
        <v>5</v>
      </c>
      <c r="D13" s="41" t="s">
        <v>5</v>
      </c>
      <c r="E13" s="41" t="s">
        <v>5</v>
      </c>
      <c r="F13" s="41" t="s">
        <v>5</v>
      </c>
      <c r="G13" s="41" t="s">
        <v>5</v>
      </c>
      <c r="H13" s="41" t="s">
        <v>5</v>
      </c>
    </row>
    <row r="14" spans="1:8" ht="14.25" customHeight="1" x14ac:dyDescent="0.35">
      <c r="A14" s="32" t="s">
        <v>78</v>
      </c>
      <c r="B14" s="64" t="s">
        <v>87</v>
      </c>
      <c r="C14" s="43">
        <v>50000</v>
      </c>
      <c r="D14" s="43">
        <v>75000</v>
      </c>
      <c r="E14" s="43">
        <v>100000</v>
      </c>
      <c r="F14" s="43">
        <v>125000</v>
      </c>
      <c r="G14" s="43">
        <v>150000</v>
      </c>
      <c r="H14" s="43">
        <v>200000</v>
      </c>
    </row>
    <row r="15" spans="1:8" ht="14.25" customHeight="1" x14ac:dyDescent="0.35">
      <c r="A15" s="32" t="s">
        <v>80</v>
      </c>
      <c r="B15" s="64" t="s">
        <v>88</v>
      </c>
      <c r="C15" s="43">
        <v>50000</v>
      </c>
      <c r="D15" s="43">
        <v>75000</v>
      </c>
      <c r="E15" s="43">
        <v>100000</v>
      </c>
      <c r="F15" s="43">
        <v>125000</v>
      </c>
      <c r="G15" s="43">
        <v>150000</v>
      </c>
      <c r="H15" s="43">
        <v>200000</v>
      </c>
    </row>
    <row r="16" spans="1:8" ht="14.25" customHeight="1" x14ac:dyDescent="0.35">
      <c r="A16" s="32" t="s">
        <v>82</v>
      </c>
      <c r="B16" s="64" t="s">
        <v>89</v>
      </c>
      <c r="C16" s="43">
        <v>100000</v>
      </c>
      <c r="D16" s="43">
        <v>150000</v>
      </c>
      <c r="E16" s="43">
        <v>200000</v>
      </c>
      <c r="F16" s="43">
        <v>250000</v>
      </c>
      <c r="G16" s="43">
        <v>300000</v>
      </c>
      <c r="H16" s="43">
        <v>400000</v>
      </c>
    </row>
    <row r="17" spans="1:8" ht="14.25" customHeight="1" x14ac:dyDescent="0.35">
      <c r="A17" s="32" t="s">
        <v>90</v>
      </c>
      <c r="B17" s="64" t="s">
        <v>91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</row>
    <row r="18" spans="1:8" ht="14.25" customHeight="1" x14ac:dyDescent="0.35">
      <c r="A18" s="35"/>
      <c r="B18" s="36" t="s">
        <v>92</v>
      </c>
      <c r="C18" s="65">
        <f t="shared" ref="C18:H18" si="1">SUM(C14:C17)</f>
        <v>200000</v>
      </c>
      <c r="D18" s="65">
        <f t="shared" si="1"/>
        <v>300000</v>
      </c>
      <c r="E18" s="65">
        <f t="shared" si="1"/>
        <v>400000</v>
      </c>
      <c r="F18" s="65">
        <f t="shared" si="1"/>
        <v>500000</v>
      </c>
      <c r="G18" s="65">
        <f t="shared" si="1"/>
        <v>600000</v>
      </c>
      <c r="H18" s="65">
        <f t="shared" si="1"/>
        <v>800000</v>
      </c>
    </row>
    <row r="19" spans="1:8" ht="14.25" customHeight="1" x14ac:dyDescent="0.35"/>
    <row r="20" spans="1:8" ht="14.25" customHeight="1" x14ac:dyDescent="0.35"/>
    <row r="21" spans="1:8" ht="14.25" customHeight="1" x14ac:dyDescent="0.35"/>
    <row r="22" spans="1:8" ht="14.25" customHeight="1" x14ac:dyDescent="0.35"/>
    <row r="23" spans="1:8" ht="14.25" customHeight="1" x14ac:dyDescent="0.35"/>
    <row r="24" spans="1:8" ht="14.25" customHeight="1" x14ac:dyDescent="0.35"/>
    <row r="25" spans="1:8" ht="14.25" customHeight="1" x14ac:dyDescent="0.35"/>
    <row r="26" spans="1:8" ht="14.25" customHeight="1" x14ac:dyDescent="0.35"/>
    <row r="27" spans="1:8" ht="14.25" customHeight="1" x14ac:dyDescent="0.35"/>
    <row r="28" spans="1:8" ht="14.25" customHeight="1" x14ac:dyDescent="0.35"/>
    <row r="29" spans="1:8" ht="14.25" customHeight="1" x14ac:dyDescent="0.35"/>
    <row r="30" spans="1:8" ht="14.25" customHeight="1" x14ac:dyDescent="0.35"/>
    <row r="31" spans="1:8" ht="14.25" customHeight="1" x14ac:dyDescent="0.35"/>
    <row r="32" spans="1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1:E1"/>
    <mergeCell ref="A2:E2"/>
    <mergeCell ref="A10:E10"/>
    <mergeCell ref="A11:E1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Notes to 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SHERAZ HUSSAIN</dc:creator>
  <cp:lastModifiedBy>L200961Ammar Ahmed</cp:lastModifiedBy>
  <dcterms:created xsi:type="dcterms:W3CDTF">2025-04-28T17:26:39Z</dcterms:created>
  <dcterms:modified xsi:type="dcterms:W3CDTF">2025-04-28T22:19:55Z</dcterms:modified>
</cp:coreProperties>
</file>